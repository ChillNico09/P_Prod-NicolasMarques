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30430" codeName="{82680DD9-3F13-7979-5B5F-3D2375947C00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ETML-2eme\P_Prod\"/>
    </mc:Choice>
  </mc:AlternateContent>
  <xr:revisionPtr revIDLastSave="0" documentId="13_ncr:1_{F0B5F6DE-A113-496E-A805-66B57AF23C60}" xr6:coauthVersionLast="47" xr6:coauthVersionMax="47" xr10:uidLastSave="{00000000-0000-0000-0000-000000000000}"/>
  <bookViews>
    <workbookView xWindow="-120" yWindow="-120" windowWidth="29040" windowHeight="15720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65" r:id="rId6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" i="165" l="1"/>
  <c r="D20" i="165" s="1"/>
  <c r="D39" i="165" s="1"/>
  <c r="D58" i="165" s="1"/>
  <c r="D77" i="165" s="1"/>
  <c r="D96" i="165" s="1"/>
  <c r="D115" i="165" s="1"/>
  <c r="D134" i="165" s="1"/>
  <c r="B151" i="165"/>
  <c r="B132" i="165"/>
  <c r="B113" i="165"/>
  <c r="B94" i="165"/>
  <c r="B75" i="165"/>
  <c r="B56" i="165"/>
  <c r="B37" i="165"/>
  <c r="B18" i="165"/>
  <c r="B18" i="154"/>
  <c r="B13" i="11" l="1"/>
</calcChain>
</file>

<file path=xl/sharedStrings.xml><?xml version="1.0" encoding="utf-8"?>
<sst xmlns="http://schemas.openxmlformats.org/spreadsheetml/2006/main" count="141" uniqueCount="55">
  <si>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</si>
  <si>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</si>
  <si>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</si>
  <si>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</si>
  <si>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</si>
  <si>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</si>
  <si>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</si>
  <si>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</si>
  <si>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</si>
  <si>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</si>
  <si>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</si>
  <si>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</si>
  <si>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</si>
  <si>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</si>
  <si>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</si>
  <si>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</si>
  <si>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</si>
  <si>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</si>
  <si>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</si>
  <si>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</si>
  <si>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</si>
  <si>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</si>
  <si>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</si>
  <si>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</si>
  <si>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Nicolas Marques</t>
  </si>
  <si>
    <t>CID2A</t>
  </si>
  <si>
    <t>Vennes</t>
  </si>
  <si>
    <t>STOP</t>
  </si>
  <si>
    <t>Rapport</t>
  </si>
  <si>
    <t>Journal de travial</t>
  </si>
  <si>
    <t>Debug</t>
  </si>
  <si>
    <t>Test</t>
  </si>
  <si>
    <t>Recherches</t>
  </si>
  <si>
    <t>Coder</t>
  </si>
  <si>
    <t>Autres</t>
  </si>
  <si>
    <t>Planification</t>
  </si>
  <si>
    <t>P_Prod</t>
  </si>
  <si>
    <t>Max. 9</t>
  </si>
  <si>
    <t>Trouver une idée de projet puis créer sont rapport.</t>
  </si>
  <si>
    <t>Coder le menu avec 3 options. "Play", "Help", "Quit". On utilise les flèches du bas et du haut pour naviguer dans le menu. Un petite flèche se met à gauche "-&gt;" du mot (ex: "-&gt;Play")</t>
  </si>
  <si>
    <t>Transformer le menu en classe statique.</t>
  </si>
  <si>
    <t>Afficher des instructions de navigation, avec des couleurs automatiquement misent grâce à un loupe "for".</t>
  </si>
  <si>
    <t>Rajout d'une 4ème option "Option" qui se situe au-dessus de "Quit" en en-dessous de "Help". Renomer des variables et nom de classe. Ainsi que mettre des "Summary" pour chacune des méthodes.</t>
  </si>
  <si>
    <t>Mettre à jour le journal de travail.</t>
  </si>
  <si>
    <t>Marche de l'établissement</t>
  </si>
  <si>
    <t>Ajout d'un "Êtes-vous sûr?" quand l'utilisateur veut quitter le programme</t>
  </si>
  <si>
    <t>Création de la classe "Drone"</t>
  </si>
  <si>
    <t>https://github.com/ChillNico09/P_Prod-NicolasMarques</t>
  </si>
  <si>
    <t>Création du répertoire github</t>
  </si>
  <si>
    <t>Changer la manière de comment les couleurs des instructions sont afficher</t>
  </si>
  <si>
    <t>Avancement sur la classe drone</t>
  </si>
  <si>
    <t>Discussion avec mes camarades de classe</t>
  </si>
  <si>
    <t>Possibilité de choisir un drône avant de lancer le jeu. Puis création d'une classe static pour gérer le jeu.</t>
  </si>
  <si>
    <t>Git push les changements de la semaine passé</t>
  </si>
  <si>
    <t>Vérifier si l'ID entrer par le joueur est valide ou non. Quand le drone à terminer ça course, retourner au menu.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</si>
</sst>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01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>
      <alignment horizontal="center" vertical="center"/>
    </xf>
    <xf numFmtId="0" fontId="7" fillId="2" borderId="12" xfId="0" quotePrefix="1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left" vertical="top" wrapText="1"/>
    </xf>
    <xf numFmtId="0" fontId="10" fillId="5" borderId="0" xfId="0" applyFont="1" applyFill="1" applyAlignment="1">
      <alignment horizontal="center"/>
    </xf>
    <xf numFmtId="0" fontId="3" fillId="6" borderId="15" xfId="0" applyFont="1" applyFill="1" applyBorder="1" applyAlignment="1">
      <alignment horizontal="center" vertical="center" wrapText="1"/>
    </xf>
    <xf numFmtId="1" fontId="2" fillId="7" borderId="27" xfId="0" applyNumberFormat="1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right" vertical="center"/>
    </xf>
    <xf numFmtId="0" fontId="11" fillId="3" borderId="15" xfId="0" applyFont="1" applyFill="1" applyBorder="1" applyAlignment="1">
      <alignment horizontal="center" vertical="center" wrapText="1"/>
    </xf>
    <xf numFmtId="0" fontId="0" fillId="9" borderId="9" xfId="0" applyFill="1" applyBorder="1"/>
    <xf numFmtId="0" fontId="0" fillId="9" borderId="0" xfId="0" applyFill="1"/>
    <xf numFmtId="0" fontId="0" fillId="9" borderId="5" xfId="0" applyFill="1" applyBorder="1"/>
    <xf numFmtId="1" fontId="2" fillId="7" borderId="28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>
      <alignment horizontal="right" vertical="center" wrapText="1" indent="1"/>
    </xf>
    <xf numFmtId="0" fontId="3" fillId="10" borderId="31" xfId="0" applyFont="1" applyFill="1" applyBorder="1" applyAlignment="1">
      <alignment horizontal="right" vertical="center" indent="1"/>
    </xf>
    <xf numFmtId="1" fontId="3" fillId="10" borderId="29" xfId="0" applyNumberFormat="1" applyFont="1" applyFill="1" applyBorder="1" applyAlignment="1">
      <alignment horizontal="center" vertical="center"/>
    </xf>
    <xf numFmtId="1" fontId="3" fillId="10" borderId="32" xfId="0" applyNumberFormat="1" applyFont="1" applyFill="1" applyBorder="1" applyAlignment="1">
      <alignment horizontal="center" vertical="center"/>
    </xf>
    <xf numFmtId="0" fontId="0" fillId="9" borderId="8" xfId="0" applyFill="1" applyBorder="1"/>
    <xf numFmtId="0" fontId="6" fillId="9" borderId="0" xfId="0" applyFont="1" applyFill="1" applyAlignment="1">
      <alignment horizontal="center" vertical="center"/>
    </xf>
    <xf numFmtId="0" fontId="7" fillId="9" borderId="0" xfId="0" quotePrefix="1" applyFont="1" applyFill="1" applyAlignment="1">
      <alignment horizontal="centerContinuous" vertical="center"/>
    </xf>
    <xf numFmtId="0" fontId="6" fillId="9" borderId="0" xfId="0" applyFont="1" applyFill="1" applyAlignment="1">
      <alignment horizontal="right" vertical="center"/>
    </xf>
    <xf numFmtId="0" fontId="7" fillId="9" borderId="0" xfId="0" applyFont="1" applyFill="1" applyAlignment="1">
      <alignment horizontal="left" vertical="center"/>
    </xf>
    <xf numFmtId="0" fontId="11" fillId="9" borderId="0" xfId="0" applyFont="1" applyFill="1" applyAlignment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left" vertical="top" wrapText="1"/>
      <protection locked="0"/>
    </xf>
    <xf numFmtId="0" fontId="8" fillId="9" borderId="0" xfId="0" applyFont="1" applyFill="1" applyAlignment="1">
      <alignment horizontal="center" vertical="center" wrapText="1"/>
    </xf>
    <xf numFmtId="0" fontId="8" fillId="9" borderId="0" xfId="0" applyFont="1" applyFill="1" applyAlignment="1">
      <alignment horizontal="left" vertical="top" wrapText="1"/>
    </xf>
    <xf numFmtId="0" fontId="10" fillId="9" borderId="0" xfId="0" applyFont="1" applyFill="1" applyAlignment="1">
      <alignment horizontal="center"/>
    </xf>
    <xf numFmtId="0" fontId="4" fillId="9" borderId="0" xfId="0" applyFont="1" applyFill="1"/>
    <xf numFmtId="0" fontId="6" fillId="13" borderId="14" xfId="0" applyFont="1" applyFill="1" applyBorder="1" applyAlignment="1">
      <alignment horizontal="center" vertical="center"/>
    </xf>
    <xf numFmtId="0" fontId="7" fillId="13" borderId="12" xfId="0" quotePrefix="1" applyFont="1" applyFill="1" applyBorder="1" applyAlignment="1">
      <alignment horizontal="centerContinuous" vertical="center"/>
    </xf>
    <xf numFmtId="0" fontId="6" fillId="13" borderId="14" xfId="0" applyFont="1" applyFill="1" applyBorder="1" applyAlignment="1">
      <alignment horizontal="right" vertical="center"/>
    </xf>
    <xf numFmtId="0" fontId="6" fillId="12" borderId="15" xfId="0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 wrapText="1"/>
    </xf>
    <xf numFmtId="0" fontId="8" fillId="12" borderId="15" xfId="0" applyFont="1" applyFill="1" applyBorder="1" applyAlignment="1">
      <alignment horizontal="center" vertical="center" wrapText="1"/>
    </xf>
    <xf numFmtId="0" fontId="8" fillId="12" borderId="13" xfId="0" applyFont="1" applyFill="1" applyBorder="1" applyAlignment="1">
      <alignment horizontal="left" vertical="top" wrapText="1"/>
    </xf>
    <xf numFmtId="0" fontId="10" fillId="11" borderId="0" xfId="0" applyFont="1" applyFill="1" applyAlignment="1">
      <alignment horizontal="center"/>
    </xf>
    <xf numFmtId="0" fontId="8" fillId="0" borderId="33" xfId="0" applyFont="1" applyBorder="1" applyAlignment="1" applyProtection="1">
      <alignment horizontal="center" vertical="center" wrapText="1"/>
      <protection locked="0"/>
    </xf>
    <xf numFmtId="0" fontId="8" fillId="0" borderId="33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/>
    <xf numFmtId="0" fontId="8" fillId="9" borderId="9" xfId="0" applyFont="1" applyFill="1" applyBorder="1"/>
    <xf numFmtId="0" fontId="14" fillId="6" borderId="16" xfId="0" applyFont="1" applyFill="1" applyBorder="1" applyAlignment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>
      <alignment vertical="center"/>
    </xf>
    <xf numFmtId="0" fontId="15" fillId="8" borderId="26" xfId="0" applyFont="1" applyFill="1" applyBorder="1" applyAlignment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>
      <alignment horizontal="right" vertical="center"/>
    </xf>
    <xf numFmtId="164" fontId="15" fillId="6" borderId="25" xfId="0" applyNumberFormat="1" applyFont="1" applyFill="1" applyBorder="1" applyAlignment="1">
      <alignment horizontal="left" vertical="center" indent="2"/>
    </xf>
    <xf numFmtId="0" fontId="14" fillId="6" borderId="17" xfId="0" applyFont="1" applyFill="1" applyBorder="1" applyAlignment="1">
      <alignment horizontal="right" vertical="center"/>
    </xf>
    <xf numFmtId="0" fontId="14" fillId="6" borderId="8" xfId="0" applyFont="1" applyFill="1" applyBorder="1" applyAlignment="1">
      <alignment horizontal="right" vertical="center"/>
    </xf>
    <xf numFmtId="0" fontId="8" fillId="9" borderId="10" xfId="0" applyFont="1" applyFill="1" applyBorder="1"/>
    <xf numFmtId="0" fontId="7" fillId="2" borderId="13" xfId="0" applyFont="1" applyFill="1" applyBorder="1" applyAlignment="1" applyProtection="1">
      <alignment horizontal="left" vertical="center"/>
      <protection locked="0"/>
    </xf>
    <xf numFmtId="1" fontId="15" fillId="8" borderId="25" xfId="0" applyNumberFormat="1" applyFont="1" applyFill="1" applyBorder="1" applyAlignment="1" applyProtection="1">
      <alignment horizontal="left" vertical="center" wrapText="1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wrapText="1" indent="2"/>
      <protection locked="0"/>
    </xf>
    <xf numFmtId="1" fontId="15" fillId="8" borderId="23" xfId="0" applyNumberFormat="1" applyFont="1" applyFill="1" applyBorder="1" applyAlignment="1" applyProtection="1">
      <alignment horizontal="left" vertical="center" wrapText="1" indent="2"/>
      <protection locked="0"/>
    </xf>
    <xf numFmtId="0" fontId="16" fillId="9" borderId="0" xfId="0" applyFont="1" applyFill="1"/>
    <xf numFmtId="0" fontId="9" fillId="12" borderId="13" xfId="0" applyFont="1" applyFill="1" applyBorder="1" applyAlignment="1">
      <alignment horizontal="left" vertical="top" wrapText="1"/>
    </xf>
    <xf numFmtId="164" fontId="15" fillId="8" borderId="25" xfId="0" applyNumberFormat="1" applyFont="1" applyFill="1" applyBorder="1" applyAlignment="1" applyProtection="1">
      <alignment horizontal="left" vertical="center" wrapText="1" indent="2"/>
      <protection locked="0"/>
    </xf>
    <xf numFmtId="0" fontId="0" fillId="0" borderId="1" xfId="0" applyBorder="1" applyAlignment="1" applyProtection="1">
      <alignment horizontal="left" vertical="top" wrapText="1"/>
      <protection locked="0"/>
    </xf>
    <xf numFmtId="0" fontId="0" fillId="0" borderId="2" xfId="0" applyBorder="1" applyAlignment="1" applyProtection="1">
      <alignment horizontal="left" vertical="top" wrapText="1"/>
      <protection locked="0"/>
    </xf>
    <xf numFmtId="0" fontId="1" fillId="0" borderId="2" xfId="1" applyBorder="1" applyAlignment="1" applyProtection="1">
      <alignment horizontal="left" vertical="top" wrapText="1"/>
      <protection locked="0"/>
    </xf>
    <xf numFmtId="0" fontId="0" fillId="0" borderId="2" xfId="1" applyFont="1" applyFill="1" applyBorder="1" applyAlignment="1" applyProtection="1">
      <alignment horizontal="center" vertical="center" wrapText="1"/>
      <protection locked="0"/>
    </xf>
    <xf numFmtId="0" fontId="14" fillId="6" borderId="14" xfId="0" applyFont="1" applyFill="1" applyBorder="1" applyAlignment="1">
      <alignment horizontal="center" vertical="center"/>
    </xf>
    <xf numFmtId="0" fontId="14" fillId="6" borderId="13" xfId="0" applyFont="1" applyFill="1" applyBorder="1" applyAlignment="1">
      <alignment horizontal="center" vertical="center"/>
    </xf>
    <xf numFmtId="0" fontId="2" fillId="7" borderId="20" xfId="0" applyFont="1" applyFill="1" applyBorder="1" applyAlignment="1">
      <alignment horizontal="left" vertical="center" indent="1"/>
    </xf>
    <xf numFmtId="0" fontId="0" fillId="7" borderId="19" xfId="0" applyFill="1" applyBorder="1"/>
    <xf numFmtId="0" fontId="0" fillId="0" borderId="1" xfId="0" applyFont="1" applyBorder="1" applyAlignment="1" applyProtection="1">
      <alignment horizontal="left" vertical="top" wrapText="1"/>
      <protection locked="0"/>
    </xf>
    <xf numFmtId="0" fontId="0" fillId="0" borderId="2" xfId="0" applyFont="1" applyBorder="1" applyAlignment="1" applyProtection="1">
      <alignment horizontal="left" vertical="top" wrapText="1"/>
      <protection locked="0"/>
    </xf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57345" name="btnImportRealisation" hidden="1">
              <a:extLst>
                <a:ext uri="{63B3BB69-23CF-44E3-9099-C40C66FF867C}">
                  <a14:compatExt spid="_x0000_s57345"/>
                </a:ext>
                <a:ext uri="{FF2B5EF4-FFF2-40B4-BE49-F238E27FC236}">
                  <a16:creationId xmlns:a16="http://schemas.microsoft.com/office/drawing/2014/main" id="{00000000-0008-0000-0500-00000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ChillNico09/P_Prod-NicolasMarques" TargetMode="External"/><Relationship Id="rId6" Type="http://schemas.openxmlformats.org/officeDocument/2006/relationships/image" Target="../media/image6.emf"/><Relationship Id="rId5" Type="http://schemas.openxmlformats.org/officeDocument/2006/relationships/control" Target="../activeX/activeX6.xml"/><Relationship Id="rId4" Type="http://schemas.openxmlformats.org/officeDocument/2006/relationships/vmlDrawing" Target="../drawings/vmlDrawing5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G54"/>
  <sheetViews>
    <sheetView view="pageBreakPreview" zoomScaleNormal="100" zoomScaleSheetLayoutView="100" workbookViewId="0">
      <selection activeCell="C11" sqref="C11"/>
    </sheetView>
  </sheetViews>
  <sheetFormatPr baseColWidth="10" defaultColWidth="11.5703125" defaultRowHeight="13.5" x14ac:dyDescent="0.25"/>
  <cols>
    <col min="1" max="1" width="16.5703125" style="57" customWidth="1"/>
    <col min="2" max="2" width="55.140625" style="57" customWidth="1"/>
    <col min="3" max="3" width="88.5703125" style="57" customWidth="1"/>
    <col min="4" max="4" width="3.42578125" style="57" customWidth="1"/>
    <col min="5" max="6" width="11.5703125" style="57"/>
    <col min="7" max="7" width="3.28515625" style="57" customWidth="1"/>
    <col min="8" max="16384" width="11.5703125" style="57"/>
  </cols>
  <sheetData>
    <row r="1" spans="1:7" x14ac:dyDescent="0.25">
      <c r="A1" s="54"/>
      <c r="B1" s="55"/>
      <c r="C1" s="55"/>
      <c r="D1" s="55"/>
      <c r="E1" s="55"/>
      <c r="F1" s="55"/>
      <c r="G1" s="56"/>
    </row>
    <row r="2" spans="1:7" ht="14.25" thickBot="1" x14ac:dyDescent="0.3">
      <c r="A2" s="58"/>
      <c r="B2" s="59"/>
      <c r="C2" s="59"/>
      <c r="D2" s="59"/>
      <c r="E2" s="59"/>
      <c r="F2" s="59"/>
      <c r="G2" s="60"/>
    </row>
    <row r="3" spans="1:7" ht="20.25" x14ac:dyDescent="0.25">
      <c r="A3" s="58"/>
      <c r="B3" s="61" t="s">
        <v>0</v>
      </c>
      <c r="C3" s="62" t="s">
        <v>36</v>
      </c>
      <c r="D3" s="59"/>
      <c r="E3" s="59"/>
      <c r="F3" s="59"/>
      <c r="G3" s="60"/>
    </row>
    <row r="4" spans="1:7" ht="20.25" x14ac:dyDescent="0.25">
      <c r="A4" s="58"/>
      <c r="B4" s="63" t="s">
        <v>4</v>
      </c>
      <c r="C4" s="64" t="s">
        <v>24</v>
      </c>
      <c r="D4" s="59"/>
      <c r="E4" s="59"/>
      <c r="F4" s="59"/>
      <c r="G4" s="60"/>
    </row>
    <row r="5" spans="1:7" ht="20.25" x14ac:dyDescent="0.25">
      <c r="A5" s="58"/>
      <c r="B5" s="63" t="s">
        <v>1</v>
      </c>
      <c r="C5" s="64" t="s">
        <v>25</v>
      </c>
      <c r="D5" s="59"/>
      <c r="E5" s="59"/>
      <c r="F5" s="59"/>
      <c r="G5" s="60"/>
    </row>
    <row r="6" spans="1:7" ht="21" thickBot="1" x14ac:dyDescent="0.3">
      <c r="A6" s="58"/>
      <c r="B6" s="65" t="s">
        <v>2</v>
      </c>
      <c r="C6" s="66" t="s">
        <v>26</v>
      </c>
      <c r="D6" s="59"/>
      <c r="E6" s="59"/>
      <c r="F6" s="59"/>
      <c r="G6" s="60"/>
    </row>
    <row r="7" spans="1:7" x14ac:dyDescent="0.25">
      <c r="A7" s="58"/>
      <c r="B7" s="59"/>
      <c r="C7" s="59"/>
      <c r="D7" s="59"/>
      <c r="E7" s="59"/>
      <c r="F7" s="59"/>
      <c r="G7" s="60"/>
    </row>
    <row r="8" spans="1:7" ht="14.25" thickBot="1" x14ac:dyDescent="0.3">
      <c r="A8" s="58"/>
      <c r="B8" s="59"/>
      <c r="C8" s="59"/>
      <c r="D8" s="59"/>
      <c r="E8" s="59"/>
      <c r="F8" s="59"/>
      <c r="G8" s="60"/>
    </row>
    <row r="9" spans="1:7" ht="20.25" x14ac:dyDescent="0.25">
      <c r="A9" s="58"/>
      <c r="B9" s="61" t="s">
        <v>9</v>
      </c>
      <c r="C9" s="67">
        <v>46259</v>
      </c>
      <c r="D9" s="59"/>
      <c r="E9" s="59"/>
      <c r="F9" s="59"/>
      <c r="G9" s="60"/>
    </row>
    <row r="10" spans="1:7" ht="20.25" x14ac:dyDescent="0.25">
      <c r="A10" s="58"/>
      <c r="B10" s="68" t="s">
        <v>8</v>
      </c>
      <c r="C10" s="69">
        <v>46322</v>
      </c>
      <c r="D10" s="59"/>
      <c r="E10" s="59"/>
      <c r="F10" s="59"/>
      <c r="G10" s="60"/>
    </row>
    <row r="11" spans="1:7" ht="20.25" x14ac:dyDescent="0.25">
      <c r="A11" s="58"/>
      <c r="B11" s="68" t="s">
        <v>10</v>
      </c>
      <c r="C11" s="70">
        <v>8</v>
      </c>
      <c r="D11" s="59"/>
      <c r="E11" s="59"/>
      <c r="F11" s="59"/>
      <c r="G11" s="60"/>
    </row>
    <row r="12" spans="1:7" ht="20.25" x14ac:dyDescent="0.25">
      <c r="A12" s="58"/>
      <c r="B12" s="63" t="s">
        <v>11</v>
      </c>
      <c r="C12" s="71">
        <v>3</v>
      </c>
      <c r="D12" s="59"/>
      <c r="E12" s="59"/>
      <c r="F12" s="59"/>
      <c r="G12" s="60"/>
    </row>
    <row r="13" spans="1:7" ht="20.25" x14ac:dyDescent="0.25">
      <c r="A13" s="58"/>
      <c r="B13" s="63" t="s">
        <v>12</v>
      </c>
      <c r="C13" s="71">
        <v>3</v>
      </c>
      <c r="D13" s="59"/>
      <c r="E13" s="59"/>
      <c r="F13" s="59"/>
      <c r="G13" s="60"/>
    </row>
    <row r="14" spans="1:7" ht="20.25" thickBot="1" x14ac:dyDescent="0.3">
      <c r="A14" s="58"/>
      <c r="B14" s="72"/>
      <c r="C14" s="73" t="s">
        <v>6</v>
      </c>
      <c r="D14" s="59"/>
      <c r="E14" s="59"/>
      <c r="F14" s="59"/>
      <c r="G14" s="60"/>
    </row>
    <row r="15" spans="1:7" x14ac:dyDescent="0.25">
      <c r="A15" s="58"/>
      <c r="B15" s="59"/>
      <c r="C15" s="59"/>
      <c r="D15" s="59"/>
      <c r="E15" s="59"/>
      <c r="F15" s="59"/>
      <c r="G15" s="60"/>
    </row>
    <row r="16" spans="1:7" ht="14.25" thickBot="1" x14ac:dyDescent="0.3">
      <c r="A16" s="74"/>
      <c r="B16" s="75"/>
      <c r="C16" s="75"/>
      <c r="D16" s="75"/>
      <c r="E16" s="75"/>
      <c r="F16" s="75"/>
      <c r="G16" s="76"/>
    </row>
    <row r="17" spans="1:7" x14ac:dyDescent="0.25">
      <c r="A17" s="77"/>
      <c r="B17" s="55"/>
      <c r="C17" s="55"/>
      <c r="D17" s="55"/>
      <c r="E17" s="55"/>
      <c r="F17" s="55"/>
      <c r="G17" s="56"/>
    </row>
    <row r="18" spans="1:7" ht="14.25" thickBot="1" x14ac:dyDescent="0.3">
      <c r="A18" s="78"/>
      <c r="B18" s="59"/>
      <c r="C18" s="59"/>
      <c r="D18" s="59"/>
      <c r="E18" s="59"/>
      <c r="F18" s="59"/>
      <c r="G18" s="60"/>
    </row>
    <row r="19" spans="1:7" ht="21" thickBot="1" x14ac:dyDescent="0.3">
      <c r="A19" s="78"/>
      <c r="B19" s="95" t="s">
        <v>19</v>
      </c>
      <c r="C19" s="96"/>
      <c r="D19" s="59"/>
      <c r="E19" s="59"/>
      <c r="F19" s="59"/>
      <c r="G19" s="60"/>
    </row>
    <row r="20" spans="1:7" ht="20.25" x14ac:dyDescent="0.25">
      <c r="A20" s="78"/>
      <c r="B20" s="79" t="s">
        <v>20</v>
      </c>
      <c r="C20" s="80" t="s">
        <v>21</v>
      </c>
      <c r="D20" s="59"/>
      <c r="E20" s="59"/>
      <c r="F20" s="59"/>
      <c r="G20" s="60"/>
    </row>
    <row r="21" spans="1:7" ht="20.25" x14ac:dyDescent="0.25">
      <c r="A21" s="78"/>
      <c r="B21" s="79">
        <v>1</v>
      </c>
      <c r="C21" s="90" t="s">
        <v>29</v>
      </c>
      <c r="D21" s="59"/>
      <c r="E21" s="59"/>
      <c r="F21" s="59"/>
      <c r="G21" s="60"/>
    </row>
    <row r="22" spans="1:7" ht="20.25" x14ac:dyDescent="0.25">
      <c r="A22" s="78"/>
      <c r="B22" s="79">
        <v>2</v>
      </c>
      <c r="C22" s="85" t="s">
        <v>28</v>
      </c>
      <c r="D22" s="59"/>
      <c r="E22" s="59"/>
      <c r="F22" s="59"/>
      <c r="G22" s="60"/>
    </row>
    <row r="23" spans="1:7" ht="20.25" x14ac:dyDescent="0.25">
      <c r="A23" s="78"/>
      <c r="B23" s="81">
        <v>3</v>
      </c>
      <c r="C23" s="85" t="s">
        <v>30</v>
      </c>
      <c r="D23" s="59"/>
      <c r="E23" s="59"/>
      <c r="F23" s="59"/>
      <c r="G23" s="60"/>
    </row>
    <row r="24" spans="1:7" ht="20.25" x14ac:dyDescent="0.25">
      <c r="A24" s="78"/>
      <c r="B24" s="79">
        <v>4</v>
      </c>
      <c r="C24" s="85" t="s">
        <v>31</v>
      </c>
      <c r="D24" s="59"/>
      <c r="E24" s="59"/>
      <c r="F24" s="59"/>
      <c r="G24" s="60"/>
    </row>
    <row r="25" spans="1:7" ht="20.25" x14ac:dyDescent="0.25">
      <c r="A25" s="78"/>
      <c r="B25" s="79">
        <v>5</v>
      </c>
      <c r="C25" s="85" t="s">
        <v>32</v>
      </c>
      <c r="D25" s="59"/>
      <c r="E25" s="59"/>
      <c r="F25" s="59"/>
      <c r="G25" s="60"/>
    </row>
    <row r="26" spans="1:7" ht="20.25" x14ac:dyDescent="0.25">
      <c r="A26" s="78"/>
      <c r="B26" s="81">
        <v>6</v>
      </c>
      <c r="C26" s="85" t="s">
        <v>33</v>
      </c>
      <c r="D26" s="59"/>
      <c r="E26" s="59"/>
      <c r="F26" s="59"/>
      <c r="G26" s="60"/>
    </row>
    <row r="27" spans="1:7" ht="20.25" x14ac:dyDescent="0.25">
      <c r="A27" s="78"/>
      <c r="B27" s="79">
        <v>7</v>
      </c>
      <c r="C27" s="85" t="s">
        <v>34</v>
      </c>
      <c r="D27" s="59"/>
      <c r="E27" s="59"/>
      <c r="F27" s="59"/>
      <c r="G27" s="60"/>
    </row>
    <row r="28" spans="1:7" ht="20.25" x14ac:dyDescent="0.25">
      <c r="A28" s="78"/>
      <c r="B28" s="79">
        <v>8</v>
      </c>
      <c r="C28" s="85" t="s">
        <v>35</v>
      </c>
      <c r="D28" s="59"/>
      <c r="E28" s="59"/>
      <c r="F28" s="59"/>
      <c r="G28" s="60"/>
    </row>
    <row r="29" spans="1:7" ht="20.25" x14ac:dyDescent="0.25">
      <c r="A29" s="78"/>
      <c r="B29" s="81">
        <v>9</v>
      </c>
      <c r="C29" s="86"/>
      <c r="D29" s="59"/>
      <c r="E29" s="59"/>
      <c r="F29" s="59"/>
      <c r="G29" s="60"/>
    </row>
    <row r="30" spans="1:7" ht="20.25" x14ac:dyDescent="0.25">
      <c r="A30" s="78"/>
      <c r="B30" s="79">
        <v>10</v>
      </c>
      <c r="C30" s="85"/>
      <c r="D30" s="59"/>
      <c r="E30" s="59"/>
      <c r="F30" s="59"/>
      <c r="G30" s="60"/>
    </row>
    <row r="31" spans="1:7" ht="20.25" x14ac:dyDescent="0.25">
      <c r="A31" s="78"/>
      <c r="B31" s="79">
        <v>11</v>
      </c>
      <c r="C31" s="85"/>
      <c r="D31" s="59"/>
      <c r="E31" s="59"/>
      <c r="F31" s="59"/>
      <c r="G31" s="60"/>
    </row>
    <row r="32" spans="1:7" ht="20.25" x14ac:dyDescent="0.25">
      <c r="A32" s="78"/>
      <c r="B32" s="81">
        <v>12</v>
      </c>
      <c r="C32" s="85"/>
      <c r="D32" s="59"/>
      <c r="E32" s="59"/>
      <c r="F32" s="59"/>
      <c r="G32" s="60"/>
    </row>
    <row r="33" spans="1:7" ht="20.25" x14ac:dyDescent="0.25">
      <c r="A33" s="78"/>
      <c r="B33" s="79">
        <v>13</v>
      </c>
      <c r="C33" s="85"/>
      <c r="D33" s="59"/>
      <c r="E33" s="59"/>
      <c r="F33" s="59"/>
      <c r="G33" s="60"/>
    </row>
    <row r="34" spans="1:7" ht="20.25" x14ac:dyDescent="0.25">
      <c r="A34" s="78"/>
      <c r="B34" s="79">
        <v>14</v>
      </c>
      <c r="C34" s="86"/>
      <c r="D34" s="59"/>
      <c r="E34" s="59"/>
      <c r="F34" s="59"/>
      <c r="G34" s="60"/>
    </row>
    <row r="35" spans="1:7" ht="20.25" x14ac:dyDescent="0.25">
      <c r="A35" s="78"/>
      <c r="B35" s="81">
        <v>15</v>
      </c>
      <c r="C35" s="86"/>
      <c r="D35" s="59"/>
      <c r="E35" s="59"/>
      <c r="F35" s="59"/>
      <c r="G35" s="60"/>
    </row>
    <row r="36" spans="1:7" ht="20.25" x14ac:dyDescent="0.25">
      <c r="A36" s="78"/>
      <c r="B36" s="79">
        <v>16</v>
      </c>
      <c r="C36" s="85"/>
      <c r="D36" s="59"/>
      <c r="E36" s="59"/>
      <c r="F36" s="59"/>
      <c r="G36" s="60"/>
    </row>
    <row r="37" spans="1:7" ht="20.25" x14ac:dyDescent="0.25">
      <c r="A37" s="78"/>
      <c r="B37" s="79">
        <v>17</v>
      </c>
      <c r="C37" s="85"/>
      <c r="D37" s="59"/>
      <c r="E37" s="59"/>
      <c r="F37" s="59"/>
      <c r="G37" s="60"/>
    </row>
    <row r="38" spans="1:7" ht="20.25" x14ac:dyDescent="0.25">
      <c r="A38" s="78"/>
      <c r="B38" s="81">
        <v>18</v>
      </c>
      <c r="C38" s="85"/>
      <c r="D38" s="59"/>
      <c r="E38" s="59"/>
      <c r="F38" s="59"/>
      <c r="G38" s="60"/>
    </row>
    <row r="39" spans="1:7" ht="20.25" x14ac:dyDescent="0.25">
      <c r="A39" s="78"/>
      <c r="B39" s="79">
        <v>19</v>
      </c>
      <c r="C39" s="85"/>
      <c r="D39" s="59"/>
      <c r="E39" s="59"/>
      <c r="F39" s="59"/>
      <c r="G39" s="60"/>
    </row>
    <row r="40" spans="1:7" ht="20.25" x14ac:dyDescent="0.25">
      <c r="A40" s="78"/>
      <c r="B40" s="79">
        <v>20</v>
      </c>
      <c r="C40" s="86"/>
      <c r="D40" s="59"/>
      <c r="E40" s="59"/>
      <c r="F40" s="59"/>
      <c r="G40" s="60"/>
    </row>
    <row r="41" spans="1:7" ht="20.25" x14ac:dyDescent="0.25">
      <c r="A41" s="78"/>
      <c r="B41" s="81">
        <v>21</v>
      </c>
      <c r="C41" s="86"/>
      <c r="D41" s="59"/>
      <c r="E41" s="59"/>
      <c r="F41" s="59"/>
      <c r="G41" s="60"/>
    </row>
    <row r="42" spans="1:7" ht="20.25" x14ac:dyDescent="0.25">
      <c r="A42" s="78"/>
      <c r="B42" s="79">
        <v>22</v>
      </c>
      <c r="C42" s="85"/>
      <c r="D42" s="59"/>
      <c r="E42" s="59"/>
      <c r="F42" s="59"/>
      <c r="G42" s="60"/>
    </row>
    <row r="43" spans="1:7" ht="20.25" x14ac:dyDescent="0.25">
      <c r="A43" s="78"/>
      <c r="B43" s="79">
        <v>23</v>
      </c>
      <c r="C43" s="85"/>
      <c r="D43" s="59"/>
      <c r="E43" s="59"/>
      <c r="F43" s="59"/>
      <c r="G43" s="60"/>
    </row>
    <row r="44" spans="1:7" ht="20.25" x14ac:dyDescent="0.25">
      <c r="A44" s="78"/>
      <c r="B44" s="81">
        <v>24</v>
      </c>
      <c r="C44" s="85"/>
      <c r="D44" s="59"/>
      <c r="E44" s="59"/>
      <c r="F44" s="59"/>
      <c r="G44" s="60"/>
    </row>
    <row r="45" spans="1:7" ht="21" thickBot="1" x14ac:dyDescent="0.3">
      <c r="A45" s="78"/>
      <c r="B45" s="82">
        <v>25</v>
      </c>
      <c r="C45" s="87"/>
      <c r="D45" s="59"/>
      <c r="E45" s="59"/>
      <c r="F45" s="59"/>
      <c r="G45" s="60"/>
    </row>
    <row r="46" spans="1:7" x14ac:dyDescent="0.25">
      <c r="A46" s="78"/>
      <c r="B46" s="55"/>
      <c r="C46" s="59"/>
      <c r="D46" s="59"/>
      <c r="E46" s="59"/>
      <c r="F46" s="59"/>
      <c r="G46" s="60"/>
    </row>
    <row r="47" spans="1:7" x14ac:dyDescent="0.25">
      <c r="A47" s="78"/>
      <c r="B47" s="59"/>
      <c r="C47" s="59"/>
      <c r="D47" s="59"/>
      <c r="E47" s="59"/>
      <c r="F47" s="59"/>
      <c r="G47" s="60"/>
    </row>
    <row r="48" spans="1:7" x14ac:dyDescent="0.25">
      <c r="A48" s="78"/>
      <c r="B48" s="59"/>
      <c r="C48" s="59"/>
      <c r="D48" s="59"/>
      <c r="E48" s="59"/>
      <c r="F48" s="59"/>
      <c r="G48" s="60"/>
    </row>
    <row r="49" spans="1:7" x14ac:dyDescent="0.25">
      <c r="A49" s="78"/>
      <c r="B49" s="59"/>
      <c r="C49" s="59"/>
      <c r="D49" s="59"/>
      <c r="E49" s="59"/>
      <c r="F49" s="59"/>
      <c r="G49" s="60"/>
    </row>
    <row r="50" spans="1:7" x14ac:dyDescent="0.25">
      <c r="A50" s="78"/>
      <c r="B50" s="59"/>
      <c r="C50" s="59"/>
      <c r="D50" s="59"/>
      <c r="E50" s="59"/>
      <c r="F50" s="59"/>
      <c r="G50" s="60"/>
    </row>
    <row r="51" spans="1:7" x14ac:dyDescent="0.25">
      <c r="A51" s="78"/>
      <c r="B51" s="59"/>
      <c r="C51" s="59"/>
      <c r="D51" s="59"/>
      <c r="E51" s="59"/>
      <c r="F51" s="59"/>
      <c r="G51" s="60"/>
    </row>
    <row r="52" spans="1:7" x14ac:dyDescent="0.25">
      <c r="A52" s="78"/>
      <c r="B52" s="59"/>
      <c r="C52" s="59"/>
      <c r="D52" s="59"/>
      <c r="E52" s="59"/>
      <c r="F52" s="59"/>
      <c r="G52" s="60"/>
    </row>
    <row r="53" spans="1:7" x14ac:dyDescent="0.25">
      <c r="A53" s="78"/>
      <c r="B53" s="59"/>
      <c r="C53" s="59"/>
      <c r="D53" s="59"/>
      <c r="E53" s="59"/>
      <c r="F53" s="59"/>
      <c r="G53" s="60"/>
    </row>
    <row r="54" spans="1:7" ht="14.25" thickBot="1" x14ac:dyDescent="0.3">
      <c r="A54" s="83"/>
      <c r="B54" s="75"/>
      <c r="C54" s="75"/>
      <c r="D54" s="75"/>
      <c r="E54" s="75"/>
      <c r="F54" s="75"/>
      <c r="G54" s="76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0" customWidth="1"/>
    <col min="2" max="2" width="51.28515625" style="20" customWidth="1"/>
    <col min="3" max="3" width="19.42578125" style="20" customWidth="1"/>
    <col min="4" max="16384" width="1.5703125" style="20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7" t="s">
        <v>21</v>
      </c>
      <c r="C3" s="16">
        <v>0</v>
      </c>
    </row>
    <row r="4" spans="1:4" ht="19.5" customHeight="1" x14ac:dyDescent="0.25">
      <c r="A4" s="19"/>
      <c r="B4" s="98"/>
      <c r="C4" s="22">
        <v>0</v>
      </c>
      <c r="D4" s="29"/>
    </row>
    <row r="16" spans="1:4" ht="19.5" customHeight="1" x14ac:dyDescent="0.25">
      <c r="A16" s="41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H31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14</v>
      </c>
      <c r="B1" s="7">
        <v>1</v>
      </c>
      <c r="C1" s="17"/>
      <c r="D1" s="84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20" spans="1:8" ht="12.75" customHeight="1" x14ac:dyDescent="0.25">
      <c r="A20" s="30"/>
      <c r="B20" s="31"/>
      <c r="C20" s="32"/>
      <c r="D20" s="33"/>
      <c r="F20" s="31"/>
      <c r="G20" s="32"/>
      <c r="H20" s="33"/>
    </row>
    <row r="21" spans="1:8" ht="15" x14ac:dyDescent="0.25">
      <c r="A21" s="30"/>
      <c r="B21" s="34"/>
      <c r="C21" s="30"/>
      <c r="D21" s="30"/>
      <c r="F21" s="34"/>
      <c r="G21" s="30"/>
      <c r="H21" s="30"/>
    </row>
    <row r="22" spans="1:8" x14ac:dyDescent="0.25">
      <c r="A22" s="35"/>
      <c r="B22" s="36"/>
      <c r="C22" s="37"/>
      <c r="D22" s="37"/>
      <c r="F22" s="36"/>
      <c r="G22" s="37"/>
      <c r="H22" s="37"/>
    </row>
    <row r="23" spans="1:8" x14ac:dyDescent="0.25">
      <c r="A23" s="35"/>
      <c r="B23" s="36"/>
      <c r="C23" s="37"/>
      <c r="D23" s="37"/>
      <c r="F23" s="36"/>
      <c r="G23" s="37"/>
      <c r="H23" s="37"/>
    </row>
    <row r="24" spans="1:8" x14ac:dyDescent="0.25">
      <c r="A24" s="35"/>
      <c r="B24" s="36"/>
      <c r="C24" s="37"/>
      <c r="D24" s="37"/>
      <c r="F24" s="36"/>
      <c r="G24" s="37"/>
      <c r="H24" s="37"/>
    </row>
    <row r="25" spans="1:8" x14ac:dyDescent="0.25">
      <c r="A25" s="35"/>
      <c r="B25" s="36"/>
      <c r="C25" s="37"/>
      <c r="D25" s="37"/>
      <c r="F25" s="36"/>
      <c r="G25" s="37"/>
      <c r="H25" s="37"/>
    </row>
    <row r="26" spans="1:8" x14ac:dyDescent="0.25">
      <c r="A26" s="36"/>
      <c r="B26" s="36"/>
      <c r="C26" s="37"/>
      <c r="D26" s="37"/>
      <c r="F26" s="36"/>
      <c r="G26" s="37"/>
      <c r="H26" s="37"/>
    </row>
    <row r="27" spans="1:8" x14ac:dyDescent="0.25">
      <c r="A27" s="36"/>
      <c r="B27" s="36"/>
      <c r="C27" s="37"/>
      <c r="D27" s="37"/>
      <c r="F27" s="36"/>
      <c r="G27" s="37"/>
      <c r="H27" s="37"/>
    </row>
    <row r="28" spans="1:8" x14ac:dyDescent="0.25">
      <c r="A28" s="36"/>
      <c r="B28" s="36"/>
      <c r="C28" s="37"/>
      <c r="D28" s="37"/>
      <c r="F28" s="36"/>
      <c r="G28" s="37"/>
      <c r="H28" s="37"/>
    </row>
    <row r="29" spans="1:8" x14ac:dyDescent="0.25">
      <c r="A29" s="36"/>
      <c r="B29" s="36"/>
      <c r="C29" s="37"/>
      <c r="D29" s="37"/>
      <c r="F29" s="36"/>
      <c r="G29" s="37"/>
      <c r="H29" s="37"/>
    </row>
    <row r="30" spans="1:8" x14ac:dyDescent="0.25">
      <c r="A30" s="38"/>
      <c r="B30" s="38"/>
      <c r="C30" s="39"/>
      <c r="D30" s="39"/>
      <c r="F30" s="38"/>
      <c r="G30" s="39"/>
      <c r="H30" s="39"/>
    </row>
    <row r="31" spans="1:8" ht="14.25" x14ac:dyDescent="0.3">
      <c r="A31" s="40"/>
      <c r="B31" s="40"/>
      <c r="C31" s="40"/>
      <c r="D31" s="40"/>
      <c r="F31" s="40"/>
      <c r="G31" s="40"/>
      <c r="H31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H36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14</v>
      </c>
      <c r="B1" s="43">
        <v>1</v>
      </c>
      <c r="C1" s="44" t="s">
        <v>23</v>
      </c>
      <c r="D1" s="53"/>
    </row>
    <row r="2" spans="1:4" ht="27.75" thickBot="1" x14ac:dyDescent="0.3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22</v>
      </c>
      <c r="B18" s="47">
        <f>SUM(B3:B17)</f>
        <v>0</v>
      </c>
      <c r="C18" s="48"/>
      <c r="D18" s="48"/>
    </row>
    <row r="19" spans="1:8" ht="14.25" x14ac:dyDescent="0.3">
      <c r="A19" s="49"/>
      <c r="B19" s="49"/>
      <c r="C19" s="49"/>
      <c r="D19" s="49"/>
    </row>
    <row r="25" spans="1:8" ht="12.75" customHeight="1" x14ac:dyDescent="0.25">
      <c r="A25" s="30"/>
      <c r="B25" s="31"/>
      <c r="C25" s="32"/>
      <c r="D25" s="33"/>
      <c r="F25" s="31"/>
      <c r="G25" s="32"/>
      <c r="H25" s="33"/>
    </row>
    <row r="26" spans="1:8" ht="15" x14ac:dyDescent="0.25">
      <c r="A26" s="30"/>
      <c r="B26" s="34"/>
      <c r="C26" s="30"/>
      <c r="D26" s="30"/>
      <c r="F26" s="34"/>
      <c r="G26" s="30"/>
      <c r="H26" s="30"/>
    </row>
    <row r="27" spans="1:8" x14ac:dyDescent="0.25">
      <c r="A27" s="35"/>
      <c r="B27" s="36"/>
      <c r="C27" s="37"/>
      <c r="D27" s="37"/>
      <c r="F27" s="36"/>
      <c r="G27" s="37"/>
      <c r="H27" s="37"/>
    </row>
    <row r="28" spans="1:8" x14ac:dyDescent="0.25">
      <c r="A28" s="35"/>
      <c r="B28" s="36"/>
      <c r="C28" s="37"/>
      <c r="D28" s="37"/>
      <c r="F28" s="36"/>
      <c r="G28" s="37"/>
      <c r="H28" s="37"/>
    </row>
    <row r="29" spans="1:8" x14ac:dyDescent="0.25">
      <c r="A29" s="35"/>
      <c r="B29" s="36"/>
      <c r="C29" s="37"/>
      <c r="D29" s="37"/>
      <c r="F29" s="36"/>
      <c r="G29" s="37"/>
      <c r="H29" s="37"/>
    </row>
    <row r="30" spans="1:8" x14ac:dyDescent="0.25">
      <c r="A30" s="35"/>
      <c r="B30" s="36"/>
      <c r="C30" s="37"/>
      <c r="D30" s="37"/>
      <c r="F30" s="36"/>
      <c r="G30" s="37"/>
      <c r="H30" s="37"/>
    </row>
    <row r="31" spans="1:8" x14ac:dyDescent="0.25">
      <c r="A31" s="36"/>
      <c r="B31" s="36"/>
      <c r="C31" s="37"/>
      <c r="D31" s="37"/>
      <c r="F31" s="36"/>
      <c r="G31" s="37"/>
      <c r="H31" s="37"/>
    </row>
    <row r="32" spans="1:8" x14ac:dyDescent="0.25">
      <c r="A32" s="36"/>
      <c r="B32" s="36"/>
      <c r="C32" s="37"/>
      <c r="D32" s="37"/>
      <c r="F32" s="36"/>
      <c r="G32" s="37"/>
      <c r="H32" s="37"/>
    </row>
    <row r="33" spans="1:8" x14ac:dyDescent="0.25">
      <c r="A33" s="36"/>
      <c r="B33" s="36"/>
      <c r="C33" s="37"/>
      <c r="D33" s="37"/>
      <c r="F33" s="36"/>
      <c r="G33" s="37"/>
      <c r="H33" s="37"/>
    </row>
    <row r="34" spans="1:8" x14ac:dyDescent="0.25">
      <c r="A34" s="36"/>
      <c r="B34" s="36"/>
      <c r="C34" s="37"/>
      <c r="D34" s="37"/>
      <c r="F34" s="36"/>
      <c r="G34" s="37"/>
      <c r="H34" s="37"/>
    </row>
    <row r="35" spans="1:8" x14ac:dyDescent="0.25">
      <c r="A35" s="38"/>
      <c r="B35" s="38"/>
      <c r="C35" s="39"/>
      <c r="D35" s="39"/>
      <c r="F35" s="38"/>
      <c r="G35" s="39"/>
      <c r="H35" s="39"/>
    </row>
    <row r="36" spans="1:8" ht="14.25" x14ac:dyDescent="0.3">
      <c r="A36" s="40"/>
      <c r="B36" s="40"/>
      <c r="C36" s="40"/>
      <c r="D36" s="40"/>
      <c r="F36" s="40"/>
      <c r="G36" s="40"/>
      <c r="H36" s="4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9B60E2-B8FC-498B-9971-CB9E687E6F19}">
  <sheetPr codeName="Feuil9"/>
  <dimension ref="A1:H153"/>
  <sheetViews>
    <sheetView tabSelected="1" topLeftCell="A97" workbookViewId="0">
      <selection activeCell="G118" sqref="G118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14</v>
      </c>
      <c r="B1" s="43">
        <v>1</v>
      </c>
      <c r="C1" s="44" t="s">
        <v>23</v>
      </c>
      <c r="D1" s="53">
        <f>Donnees!$C$9</f>
        <v>46259</v>
      </c>
    </row>
    <row r="2" spans="1:4" ht="27.75" thickBot="1" x14ac:dyDescent="0.3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x14ac:dyDescent="0.25">
      <c r="A3" s="5" t="s">
        <v>35</v>
      </c>
      <c r="B3" s="4">
        <v>9</v>
      </c>
      <c r="C3" s="91" t="s">
        <v>38</v>
      </c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22</v>
      </c>
      <c r="B18" s="47">
        <f>SUM(B3:B17)</f>
        <v>9</v>
      </c>
      <c r="C18" s="89" t="s">
        <v>37</v>
      </c>
      <c r="D18" s="48"/>
    </row>
    <row r="19" spans="1:8" ht="15" thickBot="1" x14ac:dyDescent="0.35">
      <c r="A19" s="49"/>
      <c r="B19" s="49"/>
      <c r="C19" s="49"/>
      <c r="D19" s="49"/>
    </row>
    <row r="20" spans="1:8" ht="18.75" thickBot="1" x14ac:dyDescent="0.3">
      <c r="A20" s="42" t="s">
        <v>14</v>
      </c>
      <c r="B20" s="43">
        <v>2</v>
      </c>
      <c r="C20" s="44" t="s">
        <v>23</v>
      </c>
      <c r="D20" s="53">
        <f>$D$1+7</f>
        <v>46266</v>
      </c>
    </row>
    <row r="21" spans="1:8" ht="27.75" thickBot="1" x14ac:dyDescent="0.3">
      <c r="A21" s="45" t="s">
        <v>3</v>
      </c>
      <c r="B21" s="46" t="s">
        <v>15</v>
      </c>
      <c r="C21" s="45" t="s">
        <v>7</v>
      </c>
      <c r="D21" s="45" t="s">
        <v>13</v>
      </c>
    </row>
    <row r="22" spans="1:8" ht="27" x14ac:dyDescent="0.25">
      <c r="A22" s="5" t="s">
        <v>33</v>
      </c>
      <c r="B22" s="4">
        <v>9</v>
      </c>
      <c r="C22" s="91" t="s">
        <v>39</v>
      </c>
      <c r="D22" s="9"/>
    </row>
    <row r="23" spans="1:8" x14ac:dyDescent="0.25">
      <c r="A23" s="1"/>
      <c r="B23" s="2"/>
      <c r="C23" s="10"/>
      <c r="D23" s="10"/>
    </row>
    <row r="24" spans="1:8" x14ac:dyDescent="0.25">
      <c r="A24" s="1"/>
      <c r="B24" s="2"/>
      <c r="C24" s="10"/>
      <c r="D24" s="10"/>
    </row>
    <row r="25" spans="1:8" ht="12.75" customHeight="1" x14ac:dyDescent="0.25">
      <c r="A25" s="1"/>
      <c r="B25" s="2"/>
      <c r="C25" s="10"/>
      <c r="D25" s="10"/>
      <c r="F25" s="31"/>
      <c r="G25" s="32"/>
      <c r="H25" s="33"/>
    </row>
    <row r="26" spans="1:8" ht="15" x14ac:dyDescent="0.25">
      <c r="A26" s="1"/>
      <c r="B26" s="2"/>
      <c r="C26" s="10"/>
      <c r="D26" s="10"/>
      <c r="F26" s="34"/>
      <c r="G26" s="30"/>
      <c r="H26" s="30"/>
    </row>
    <row r="27" spans="1:8" x14ac:dyDescent="0.25">
      <c r="A27" s="1"/>
      <c r="B27" s="2"/>
      <c r="C27" s="10"/>
      <c r="D27" s="10"/>
      <c r="F27" s="36"/>
      <c r="G27" s="37"/>
      <c r="H27" s="37"/>
    </row>
    <row r="28" spans="1:8" x14ac:dyDescent="0.25">
      <c r="A28" s="1"/>
      <c r="B28" s="2"/>
      <c r="C28" s="10"/>
      <c r="D28" s="10"/>
      <c r="F28" s="36"/>
      <c r="G28" s="37"/>
      <c r="H28" s="37"/>
    </row>
    <row r="29" spans="1:8" x14ac:dyDescent="0.25">
      <c r="A29" s="1"/>
      <c r="B29" s="2"/>
      <c r="C29" s="10"/>
      <c r="D29" s="10"/>
      <c r="F29" s="36"/>
      <c r="G29" s="37"/>
      <c r="H29" s="37"/>
    </row>
    <row r="30" spans="1:8" x14ac:dyDescent="0.25">
      <c r="A30" s="1"/>
      <c r="B30" s="2"/>
      <c r="C30" s="10"/>
      <c r="D30" s="10"/>
      <c r="F30" s="36"/>
      <c r="G30" s="37"/>
      <c r="H30" s="37"/>
    </row>
    <row r="31" spans="1:8" x14ac:dyDescent="0.25">
      <c r="A31" s="2"/>
      <c r="B31" s="2"/>
      <c r="C31" s="10"/>
      <c r="D31" s="10"/>
      <c r="F31" s="36"/>
      <c r="G31" s="37"/>
      <c r="H31" s="37"/>
    </row>
    <row r="32" spans="1:8" x14ac:dyDescent="0.25">
      <c r="A32" s="2"/>
      <c r="B32" s="2"/>
      <c r="C32" s="10"/>
      <c r="D32" s="10"/>
      <c r="F32" s="36"/>
      <c r="G32" s="37"/>
      <c r="H32" s="37"/>
    </row>
    <row r="33" spans="1:8" x14ac:dyDescent="0.25">
      <c r="A33" s="2"/>
      <c r="B33" s="2"/>
      <c r="C33" s="10"/>
      <c r="D33" s="10"/>
      <c r="F33" s="36"/>
      <c r="G33" s="37"/>
      <c r="H33" s="37"/>
    </row>
    <row r="34" spans="1:8" x14ac:dyDescent="0.25">
      <c r="A34" s="50"/>
      <c r="B34" s="50"/>
      <c r="C34" s="51"/>
      <c r="D34" s="51"/>
      <c r="F34" s="36"/>
      <c r="G34" s="37"/>
      <c r="H34" s="37"/>
    </row>
    <row r="35" spans="1:8" x14ac:dyDescent="0.25">
      <c r="A35" s="50"/>
      <c r="B35" s="50"/>
      <c r="C35" s="51"/>
      <c r="D35" s="51"/>
      <c r="F35" s="38"/>
      <c r="G35" s="39"/>
      <c r="H35" s="39"/>
    </row>
    <row r="36" spans="1:8" ht="15" thickBot="1" x14ac:dyDescent="0.35">
      <c r="A36" s="3"/>
      <c r="B36" s="3"/>
      <c r="C36" s="11"/>
      <c r="D36" s="11"/>
      <c r="F36" s="40"/>
      <c r="G36" s="40"/>
      <c r="H36" s="40"/>
    </row>
    <row r="37" spans="1:8" ht="14.25" thickBot="1" x14ac:dyDescent="0.3">
      <c r="A37" s="47" t="s">
        <v>22</v>
      </c>
      <c r="B37" s="47">
        <f>SUM(B22:B36)</f>
        <v>9</v>
      </c>
      <c r="C37" s="89" t="s">
        <v>37</v>
      </c>
      <c r="D37" s="48"/>
    </row>
    <row r="38" spans="1:8" ht="15" thickBot="1" x14ac:dyDescent="0.35">
      <c r="A38" s="49"/>
      <c r="B38" s="49"/>
      <c r="C38" s="49"/>
      <c r="D38" s="49"/>
    </row>
    <row r="39" spans="1:8" ht="18.75" thickBot="1" x14ac:dyDescent="0.3">
      <c r="A39" s="42" t="s">
        <v>14</v>
      </c>
      <c r="B39" s="43">
        <v>3</v>
      </c>
      <c r="C39" s="44" t="s">
        <v>23</v>
      </c>
      <c r="D39" s="53">
        <f>$D$20+7</f>
        <v>46273</v>
      </c>
    </row>
    <row r="40" spans="1:8" ht="27.75" thickBot="1" x14ac:dyDescent="0.3">
      <c r="A40" s="45" t="s">
        <v>3</v>
      </c>
      <c r="B40" s="46" t="s">
        <v>15</v>
      </c>
      <c r="C40" s="45" t="s">
        <v>7</v>
      </c>
      <c r="D40" s="45" t="s">
        <v>13</v>
      </c>
    </row>
    <row r="41" spans="1:8" x14ac:dyDescent="0.25">
      <c r="A41" s="5" t="s">
        <v>33</v>
      </c>
      <c r="B41" s="4">
        <v>3</v>
      </c>
      <c r="C41" s="91" t="s">
        <v>40</v>
      </c>
      <c r="D41" s="9"/>
    </row>
    <row r="42" spans="1:8" ht="27" x14ac:dyDescent="0.25">
      <c r="A42" s="1" t="s">
        <v>33</v>
      </c>
      <c r="B42" s="2">
        <v>3</v>
      </c>
      <c r="C42" s="92" t="s">
        <v>41</v>
      </c>
      <c r="D42" s="10"/>
    </row>
    <row r="43" spans="1:8" ht="40.5" x14ac:dyDescent="0.25">
      <c r="A43" s="1" t="s">
        <v>33</v>
      </c>
      <c r="B43" s="2">
        <v>2</v>
      </c>
      <c r="C43" s="92" t="s">
        <v>42</v>
      </c>
      <c r="D43" s="10"/>
    </row>
    <row r="44" spans="1:8" x14ac:dyDescent="0.25">
      <c r="A44" s="1" t="s">
        <v>29</v>
      </c>
      <c r="B44" s="2">
        <v>1</v>
      </c>
      <c r="C44" s="92" t="s">
        <v>43</v>
      </c>
      <c r="D44" s="10"/>
    </row>
    <row r="45" spans="1:8" x14ac:dyDescent="0.25">
      <c r="A45" s="1"/>
      <c r="B45" s="2"/>
      <c r="C45" s="10"/>
      <c r="D45" s="10"/>
    </row>
    <row r="46" spans="1:8" x14ac:dyDescent="0.25">
      <c r="A46" s="1"/>
      <c r="B46" s="2"/>
      <c r="C46" s="10"/>
      <c r="D46" s="10"/>
    </row>
    <row r="47" spans="1:8" x14ac:dyDescent="0.25">
      <c r="A47" s="1"/>
      <c r="B47" s="2"/>
      <c r="C47" s="10"/>
      <c r="D47" s="10"/>
    </row>
    <row r="48" spans="1:8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0"/>
      <c r="B53" s="50"/>
      <c r="C53" s="51"/>
      <c r="D53" s="51"/>
    </row>
    <row r="54" spans="1:4" x14ac:dyDescent="0.25">
      <c r="A54" s="50"/>
      <c r="B54" s="50"/>
      <c r="C54" s="51"/>
      <c r="D54" s="51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7" t="s">
        <v>22</v>
      </c>
      <c r="B56" s="47">
        <f>SUM(B41:B55)</f>
        <v>9</v>
      </c>
      <c r="C56" s="89" t="s">
        <v>37</v>
      </c>
      <c r="D56" s="48"/>
    </row>
    <row r="57" spans="1:4" ht="15" thickBot="1" x14ac:dyDescent="0.35">
      <c r="A57" s="49"/>
      <c r="B57" s="49"/>
      <c r="C57" s="49"/>
      <c r="D57" s="49"/>
    </row>
    <row r="58" spans="1:4" ht="18.75" thickBot="1" x14ac:dyDescent="0.3">
      <c r="A58" s="42" t="s">
        <v>14</v>
      </c>
      <c r="B58" s="43">
        <v>4</v>
      </c>
      <c r="C58" s="44" t="s">
        <v>23</v>
      </c>
      <c r="D58" s="53">
        <f>$D$39+7</f>
        <v>46280</v>
      </c>
    </row>
    <row r="59" spans="1:4" ht="27.75" thickBot="1" x14ac:dyDescent="0.3">
      <c r="A59" s="45" t="s">
        <v>3</v>
      </c>
      <c r="B59" s="46" t="s">
        <v>15</v>
      </c>
      <c r="C59" s="45" t="s">
        <v>7</v>
      </c>
      <c r="D59" s="45" t="s">
        <v>13</v>
      </c>
    </row>
    <row r="60" spans="1:4" x14ac:dyDescent="0.25">
      <c r="A60" s="5" t="s">
        <v>21</v>
      </c>
      <c r="B60" s="4">
        <v>9</v>
      </c>
      <c r="C60" s="91" t="s">
        <v>44</v>
      </c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0"/>
      <c r="B72" s="50"/>
      <c r="C72" s="51"/>
      <c r="D72" s="51"/>
    </row>
    <row r="73" spans="1:4" x14ac:dyDescent="0.25">
      <c r="A73" s="50"/>
      <c r="B73" s="50"/>
      <c r="C73" s="51"/>
      <c r="D73" s="51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7" t="s">
        <v>22</v>
      </c>
      <c r="B75" s="47">
        <f>SUM(B60:B74)</f>
        <v>9</v>
      </c>
      <c r="C75" s="89" t="s">
        <v>37</v>
      </c>
      <c r="D75" s="48"/>
    </row>
    <row r="76" spans="1:4" ht="15" thickBot="1" x14ac:dyDescent="0.35">
      <c r="A76" s="49"/>
      <c r="B76" s="49"/>
      <c r="C76" s="49"/>
      <c r="D76" s="49"/>
    </row>
    <row r="77" spans="1:4" ht="18.75" thickBot="1" x14ac:dyDescent="0.3">
      <c r="A77" s="42" t="s">
        <v>14</v>
      </c>
      <c r="B77" s="43">
        <v>5</v>
      </c>
      <c r="C77" s="44" t="s">
        <v>23</v>
      </c>
      <c r="D77" s="53">
        <f>$D$58+7</f>
        <v>46287</v>
      </c>
    </row>
    <row r="78" spans="1:4" ht="27.75" thickBot="1" x14ac:dyDescent="0.3">
      <c r="A78" s="45" t="s">
        <v>3</v>
      </c>
      <c r="B78" s="46" t="s">
        <v>15</v>
      </c>
      <c r="C78" s="45" t="s">
        <v>7</v>
      </c>
      <c r="D78" s="45" t="s">
        <v>13</v>
      </c>
    </row>
    <row r="79" spans="1:4" x14ac:dyDescent="0.25">
      <c r="A79" s="5" t="s">
        <v>33</v>
      </c>
      <c r="B79" s="4">
        <v>2</v>
      </c>
      <c r="C79" s="91" t="s">
        <v>45</v>
      </c>
      <c r="D79" s="9"/>
    </row>
    <row r="80" spans="1:4" x14ac:dyDescent="0.25">
      <c r="A80" s="1" t="s">
        <v>33</v>
      </c>
      <c r="B80" s="2">
        <v>2</v>
      </c>
      <c r="C80" s="92" t="s">
        <v>46</v>
      </c>
      <c r="D80" s="10"/>
    </row>
    <row r="81" spans="1:4" ht="25.5" x14ac:dyDescent="0.25">
      <c r="A81" s="1" t="s">
        <v>34</v>
      </c>
      <c r="B81" s="2">
        <v>1</v>
      </c>
      <c r="C81" s="92" t="s">
        <v>48</v>
      </c>
      <c r="D81" s="93" t="s">
        <v>47</v>
      </c>
    </row>
    <row r="82" spans="1:4" x14ac:dyDescent="0.25">
      <c r="A82" s="94" t="s">
        <v>33</v>
      </c>
      <c r="B82" s="2">
        <v>1</v>
      </c>
      <c r="C82" s="92" t="s">
        <v>49</v>
      </c>
      <c r="D82" s="93"/>
    </row>
    <row r="83" spans="1:4" x14ac:dyDescent="0.25">
      <c r="A83" s="1" t="s">
        <v>33</v>
      </c>
      <c r="B83" s="2">
        <v>3</v>
      </c>
      <c r="C83" s="92" t="s">
        <v>50</v>
      </c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0"/>
      <c r="B91" s="50"/>
      <c r="C91" s="51"/>
      <c r="D91" s="51"/>
    </row>
    <row r="92" spans="1:4" x14ac:dyDescent="0.25">
      <c r="A92" s="50"/>
      <c r="B92" s="50"/>
      <c r="C92" s="51"/>
      <c r="D92" s="51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7" t="s">
        <v>22</v>
      </c>
      <c r="B94" s="47">
        <f>SUM(B79:B93)</f>
        <v>9</v>
      </c>
      <c r="C94" s="89" t="s">
        <v>37</v>
      </c>
      <c r="D94" s="48"/>
    </row>
    <row r="95" spans="1:4" ht="15" thickBot="1" x14ac:dyDescent="0.35">
      <c r="A95" s="49"/>
      <c r="B95" s="49"/>
      <c r="C95" s="49"/>
      <c r="D95" s="49"/>
    </row>
    <row r="96" spans="1:4" ht="18.75" thickBot="1" x14ac:dyDescent="0.3">
      <c r="A96" s="42" t="s">
        <v>14</v>
      </c>
      <c r="B96" s="43">
        <v>6</v>
      </c>
      <c r="C96" s="44" t="s">
        <v>23</v>
      </c>
      <c r="D96" s="53">
        <f>$D$77+7</f>
        <v>46294</v>
      </c>
    </row>
    <row r="97" spans="1:4" ht="27.75" thickBot="1" x14ac:dyDescent="0.3">
      <c r="A97" s="45" t="s">
        <v>3</v>
      </c>
      <c r="B97" s="46" t="s">
        <v>15</v>
      </c>
      <c r="C97" s="45" t="s">
        <v>7</v>
      </c>
      <c r="D97" s="45" t="s">
        <v>13</v>
      </c>
    </row>
    <row r="98" spans="1:4" x14ac:dyDescent="0.25">
      <c r="A98" s="1" t="s">
        <v>34</v>
      </c>
      <c r="B98" s="4">
        <v>3</v>
      </c>
      <c r="C98" s="91" t="s">
        <v>51</v>
      </c>
      <c r="D98" s="9"/>
    </row>
    <row r="99" spans="1:4" ht="27" x14ac:dyDescent="0.25">
      <c r="A99" s="1" t="s">
        <v>33</v>
      </c>
      <c r="B99" s="2">
        <v>6</v>
      </c>
      <c r="C99" s="92" t="s">
        <v>52</v>
      </c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0"/>
      <c r="B110" s="50"/>
      <c r="C110" s="51"/>
      <c r="D110" s="51"/>
    </row>
    <row r="111" spans="1:4" x14ac:dyDescent="0.25">
      <c r="A111" s="50"/>
      <c r="B111" s="50"/>
      <c r="C111" s="51"/>
      <c r="D111" s="51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7" t="s">
        <v>22</v>
      </c>
      <c r="B113" s="47">
        <f>SUM(B98:B112)</f>
        <v>9</v>
      </c>
      <c r="C113" s="89" t="s">
        <v>37</v>
      </c>
      <c r="D113" s="48"/>
    </row>
    <row r="114" spans="1:4" ht="15" thickBot="1" x14ac:dyDescent="0.35">
      <c r="A114" s="49"/>
      <c r="B114" s="49"/>
      <c r="C114" s="49"/>
      <c r="D114" s="49"/>
    </row>
    <row r="115" spans="1:4" ht="18.75" thickBot="1" x14ac:dyDescent="0.3">
      <c r="A115" s="42" t="s">
        <v>14</v>
      </c>
      <c r="B115" s="43">
        <v>7</v>
      </c>
      <c r="C115" s="44" t="s">
        <v>23</v>
      </c>
      <c r="D115" s="53">
        <f>$D$96+7</f>
        <v>46301</v>
      </c>
    </row>
    <row r="116" spans="1:4" ht="27.75" thickBot="1" x14ac:dyDescent="0.3">
      <c r="A116" s="45" t="s">
        <v>3</v>
      </c>
      <c r="B116" s="46" t="s">
        <v>15</v>
      </c>
      <c r="C116" s="45" t="s">
        <v>7</v>
      </c>
      <c r="D116" s="45" t="s">
        <v>13</v>
      </c>
    </row>
    <row r="117" spans="1:4" x14ac:dyDescent="0.25">
      <c r="A117" s="5" t="s">
        <v>34</v>
      </c>
      <c r="B117" s="4">
        <v>1</v>
      </c>
      <c r="C117" s="99" t="s">
        <v>53</v>
      </c>
      <c r="D117" s="9"/>
    </row>
    <row r="118" spans="1:4" ht="27" x14ac:dyDescent="0.25">
      <c r="A118" s="1" t="s">
        <v>33</v>
      </c>
      <c r="B118" s="2">
        <v>2</v>
      </c>
      <c r="C118" s="100" t="s">
        <v>54</v>
      </c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0"/>
      <c r="B129" s="50"/>
      <c r="C129" s="51"/>
      <c r="D129" s="51"/>
    </row>
    <row r="130" spans="1:4" x14ac:dyDescent="0.25">
      <c r="A130" s="50"/>
      <c r="B130" s="50"/>
      <c r="C130" s="51"/>
      <c r="D130" s="51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7" t="s">
        <v>22</v>
      </c>
      <c r="B132" s="47">
        <f>SUM(B117:B131)</f>
        <v>3</v>
      </c>
      <c r="C132" s="89" t="s">
        <v>37</v>
      </c>
      <c r="D132" s="48"/>
    </row>
    <row r="133" spans="1:4" ht="15" thickBot="1" x14ac:dyDescent="0.35">
      <c r="A133" s="49"/>
      <c r="B133" s="49"/>
      <c r="C133" s="49"/>
      <c r="D133" s="49"/>
    </row>
    <row r="134" spans="1:4" ht="18.75" thickBot="1" x14ac:dyDescent="0.3">
      <c r="A134" s="42" t="s">
        <v>14</v>
      </c>
      <c r="B134" s="43">
        <v>8</v>
      </c>
      <c r="C134" s="44" t="s">
        <v>23</v>
      </c>
      <c r="D134" s="53">
        <f>$D$115+7</f>
        <v>46308</v>
      </c>
    </row>
    <row r="135" spans="1:4" ht="27.75" thickBot="1" x14ac:dyDescent="0.3">
      <c r="A135" s="45" t="s">
        <v>3</v>
      </c>
      <c r="B135" s="46" t="s">
        <v>15</v>
      </c>
      <c r="C135" s="45" t="s">
        <v>7</v>
      </c>
      <c r="D135" s="45" t="s">
        <v>13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0"/>
      <c r="B148" s="50"/>
      <c r="C148" s="51"/>
      <c r="D148" s="51"/>
    </row>
    <row r="149" spans="1:4" x14ac:dyDescent="0.25">
      <c r="A149" s="50"/>
      <c r="B149" s="50"/>
      <c r="C149" s="51"/>
      <c r="D149" s="51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7" t="s">
        <v>22</v>
      </c>
      <c r="B151" s="47">
        <f>SUM(B136:B150)</f>
        <v>0</v>
      </c>
      <c r="C151" s="89" t="s">
        <v>37</v>
      </c>
      <c r="D151" s="48"/>
    </row>
    <row r="152" spans="1:4" ht="14.25" x14ac:dyDescent="0.3">
      <c r="A152" s="49"/>
      <c r="B152" s="49"/>
      <c r="C152" s="49"/>
      <c r="D152" s="49"/>
    </row>
    <row r="153" spans="1:4" x14ac:dyDescent="0.25">
      <c r="A153" s="88" t="s">
        <v>27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C8A13C33-92D2-4FC1-B276-3B72C40E688C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" xr:uid="{7DA8D87B-BBFA-455D-9299-BBC83E395B65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 xr:uid="{AA0B8C5B-90A3-4187-881F-7F006E48F3B6}">
      <formula1>0</formula1>
      <formula2>NbPerWeek * NbQuartPer</formula2>
    </dataValidation>
    <dataValidation type="list" allowBlank="1" showInputMessage="1" showErrorMessage="1" sqref="A3:A17 A22:A36 A41:A55 A60:A74 A79:A93 A117:A131 A136:A150 A98:A112" xr:uid="{A14DFFD3-74EF-4AD7-85FD-4D0F3E078B73}">
      <formula1>lstTasks</formula1>
    </dataValidation>
  </dataValidations>
  <hyperlinks>
    <hyperlink ref="D81" r:id="rId1" xr:uid="{389417C8-1891-4440-BE6B-F70A3ED11864}"/>
  </hyperlinks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57345" r:id="rId5" name="btnImportRealisation">
          <controlPr defaultSize="0" autoLine="0" r:id="rId6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57345" r:id="rId5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BB99F57F4D89D439F52EDCD0CED316B" ma:contentTypeVersion="7" ma:contentTypeDescription="Crée un document." ma:contentTypeScope="" ma:versionID="d33ce6f53f467230af3a4d19e3409e37">
  <xsd:schema xmlns:xsd="http://www.w3.org/2001/XMLSchema" xmlns:xs="http://www.w3.org/2001/XMLSchema" xmlns:p="http://schemas.microsoft.com/office/2006/metadata/properties" xmlns:ns2="6b19550a-bdc3-4796-8096-c6911560d534" targetNamespace="http://schemas.microsoft.com/office/2006/metadata/properties" ma:root="true" ma:fieldsID="fd1611c028c4b8e5ae6fe3ffca8b06cf" ns2:_="">
    <xsd:import namespace="6b19550a-bdc3-4796-8096-c6911560d53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b19550a-bdc3-4796-8096-c6911560d53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A0364C4-3CF8-441F-8DCA-28711DFBE21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b19550a-bdc3-4796-8096-c6911560d53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10</vt:i4>
      </vt:variant>
    </vt:vector>
  </HeadingPairs>
  <TitlesOfParts>
    <vt:vector size="16" baseType="lpstr">
      <vt:lpstr>Donnees</vt:lpstr>
      <vt:lpstr>DiagramHeader</vt:lpstr>
      <vt:lpstr>DiagramFooter</vt:lpstr>
      <vt:lpstr>PlanificationWeek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Nicolas Marques</dc:creator>
  <cp:lastModifiedBy>Nicolas Marques</cp:lastModifiedBy>
  <cp:lastPrinted>2013-08-29T11:33:15Z</cp:lastPrinted>
  <dcterms:created xsi:type="dcterms:W3CDTF">1996-10-21T11:03:58Z</dcterms:created>
  <dcterms:modified xsi:type="dcterms:W3CDTF">2026-10-06T07:55:47Z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0x010100FBB99F57F4D89D439F52EDCD0CED316B</vt:lpwstr>
  </property>
  <property fmtid="{D5CDD505-2E9C-101B-9397-08002B2CF9AE}" pid="3" name="Order">
    <vt:r8>54500</vt:r8>
  </property>
  <property fmtid="{D5CDD505-2E9C-101B-9397-08002B2CF9AE}" pid="4" name="xd_Signature">
    <vt:bool>false</vt:bool>
  </property>
  <property fmtid="{D5CDD505-2E9C-101B-9397-08002B2CF9AE}" pid="5" name="xd_ProgID">
    <vt:lpwstr/>
  </property>
  <property fmtid="{D5CDD505-2E9C-101B-9397-08002B2CF9AE}" pid="6" name="_ExtendedDescription">
    <vt:lpwstr/>
  </property>
  <property fmtid="{D5CDD505-2E9C-101B-9397-08002B2CF9AE}" pid="7" name="TriggerFlowInfo">
    <vt:lpwstr/>
  </property>
  <property fmtid="{D5CDD505-2E9C-101B-9397-08002B2CF9AE}" pid="8" name="_SourceUrl">
    <vt:lpwstr/>
  </property>
  <property fmtid="{D5CDD505-2E9C-101B-9397-08002B2CF9AE}" pid="9" name="_SharedFileIndex">
    <vt:lpwstr/>
  </property>
  <property fmtid="{D5CDD505-2E9C-101B-9397-08002B2CF9AE}" pid="10" name="ComplianceAssetId">
    <vt:lpwstr/>
  </property>
  <property fmtid="{D5CDD505-2E9C-101B-9397-08002B2CF9AE}" pid="11" name="TemplateUrl">
    <vt:lpwstr/>
  </property>
</Properties>
</file>